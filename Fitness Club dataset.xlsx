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 Data" sheetId="1" r:id="rId5"/>
    <sheet state="visible" name="Revenue Data" sheetId="2" r:id="rId6"/>
    <sheet state="visible" name="KPI Calculations" sheetId="3" r:id="rId7"/>
    <sheet state="visible" name="Dashboard" sheetId="4" r:id="rId8"/>
    <sheet state="visible" name="Executive_Summary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Executive Insights
1. Increasing Churn
Churn increased from 4.44% to 8.15%.
2. Slowing Membership Growth
Active member growth plateaued in Q2.
3. Strong Acquisition Economics
CLV remains more than 20x CAC.
4. Revenue Risk
Increasing cancellations may lead to approximately £35k annual revenue leakage.
5. Strategic Priority
Focus on retention before increasing marketing spend.</t>
      </text>
    </comment>
  </commentList>
</comments>
</file>

<file path=xl/sharedStrings.xml><?xml version="1.0" encoding="utf-8"?>
<sst xmlns="http://schemas.openxmlformats.org/spreadsheetml/2006/main" count="131" uniqueCount="113">
  <si>
    <t>Members Data</t>
  </si>
  <si>
    <t>Month</t>
  </si>
  <si>
    <t>Starting Members</t>
  </si>
  <si>
    <t>New Members</t>
  </si>
  <si>
    <t>Lost Members</t>
  </si>
  <si>
    <t>Active Members</t>
  </si>
  <si>
    <t>Jan</t>
  </si>
  <si>
    <t>Feb</t>
  </si>
  <si>
    <t>Mar</t>
  </si>
  <si>
    <t>Apr</t>
  </si>
  <si>
    <t>May</t>
  </si>
  <si>
    <t>Jun</t>
  </si>
  <si>
    <t>Revenue Data</t>
  </si>
  <si>
    <t>Membership Revenue</t>
  </si>
  <si>
    <t>PT Revenue</t>
  </si>
  <si>
    <t>Supplements Revenue</t>
  </si>
  <si>
    <t>Total Revenue</t>
  </si>
  <si>
    <t>Marketing Spend</t>
  </si>
  <si>
    <t>KPI Calculations</t>
  </si>
  <si>
    <t>Churn Rate</t>
  </si>
  <si>
    <t>Retention Rate</t>
  </si>
  <si>
    <t>Revenue Growth %</t>
  </si>
  <si>
    <t>Revenue Per Member</t>
  </si>
  <si>
    <t>CAC</t>
  </si>
  <si>
    <t>CLV (12 months)</t>
  </si>
  <si>
    <t>-</t>
  </si>
  <si>
    <t>Comments</t>
  </si>
  <si>
    <t>Churn rate:</t>
  </si>
  <si>
    <t>4.44% -&gt; 8.15%</t>
  </si>
  <si>
    <t>Churn nearly doubled in six months.</t>
  </si>
  <si>
    <t>Meaning:</t>
  </si>
  <si>
    <t>retention deteriorated,</t>
  </si>
  <si>
    <t>customer satisfaction may be declining,</t>
  </si>
  <si>
    <t>operational issues may exist.</t>
  </si>
  <si>
    <t>Retention Trend:</t>
  </si>
  <si>
    <t>95.56% -&gt; 91.85%</t>
  </si>
  <si>
    <t>Fewer customers are staying with the business over time.</t>
  </si>
  <si>
    <t>Even a 3-4% drop in retention creates large revenue leakage.</t>
  </si>
  <si>
    <t>Revenue Per Member:</t>
  </si>
  <si>
    <t>£72.42 -&gt; £72.65</t>
  </si>
  <si>
    <t>Revenue per member remained flat.</t>
  </si>
  <si>
    <t>weak upselling,</t>
  </si>
  <si>
    <t>limited monetisation growth,</t>
  </si>
  <si>
    <t>reliance on acquisition instead of member value expansion.</t>
  </si>
  <si>
    <t>CAC vs CLV:</t>
  </si>
  <si>
    <t>Customer acquisition remains highly profitable.</t>
  </si>
  <si>
    <t>£25-£39</t>
  </si>
  <si>
    <t>CLV</t>
  </si>
  <si>
    <t>~£870</t>
  </si>
  <si>
    <t>marketing is not the issue,</t>
  </si>
  <si>
    <t>retention is the issue.</t>
  </si>
  <si>
    <t xml:space="preserve">Conclusion: </t>
  </si>
  <si>
    <t>The business continues to acquire members efficiently; however, increasing churn is offsetting growth and limiting revenue expansion. Retention should become the primary operational focus.</t>
  </si>
  <si>
    <t>Executive Insights Section</t>
  </si>
  <si>
    <t>Monthly Revenue</t>
  </si>
  <si>
    <t>Churn rate</t>
  </si>
  <si>
    <t xml:space="preserve">Retention rate </t>
  </si>
  <si>
    <t>Revenue per member</t>
  </si>
  <si>
    <t>FITNESS CLUB PERFORMANCE ANALYSIS</t>
  </si>
  <si>
    <t>Business Performance Review</t>
  </si>
  <si>
    <t>January 2025 – June 2025</t>
  </si>
  <si>
    <t>Prepared by:</t>
  </si>
  <si>
    <t>Tudor Rusu</t>
  </si>
  <si>
    <t>Business Performance Analyst</t>
  </si>
  <si>
    <t>BUSINESS OBJECTIVE</t>
  </si>
  <si>
    <t>The purpose of this analysis is to evaluate membership performance, revenue trends, customer retention, and acquisition efficiency over a six-month period.</t>
  </si>
  <si>
    <t>The analysis aims to identify the key factors limiting revenue growth and provide data-driven recommendations to improve business performance.</t>
  </si>
  <si>
    <t>KEY FINDING #1 – INCREASING CUSTOMER CHURN</t>
  </si>
  <si>
    <t>Monthly churn increased from 4.44% in January to 8.15% in June.</t>
  </si>
  <si>
    <t>This represents an 83% increase in customer cancellations during the analysis period and indicates a significant deterioration in member retention.</t>
  </si>
  <si>
    <t>KEY FINDING #2 – MEMBERSHIP GROWTH HAS STALLED</t>
  </si>
  <si>
    <t>Active membership increased steadily during the first five months, reaching a peak of 503 members in May.</t>
  </si>
  <si>
    <t>However, membership growth stagnated during Q2 and declined to 499 members in June, suggesting that rising churn is beginning to offset new member acquisition.</t>
  </si>
  <si>
    <t>KEY FINDING #3 – REVENUE PER MEMBER REMAINED STABLE</t>
  </si>
  <si>
    <t>Average revenue per member remained relatively stable at approximately £72 throughout the analysis period.</t>
  </si>
  <si>
    <t>While this indicates consistent member spending behaviour, it also suggests limited success in increasing customer value through upselling initiatives such as personal training, premium memberships, or supplementary products.</t>
  </si>
  <si>
    <t>KEY FINDING #4 – CUSTOMER ACQUISITION REMAINS HIGHLY PROFITABLE</t>
  </si>
  <si>
    <t>The average Customer Lifetime Value (CLV) was approximately £872, while Customer Acquisition Cost (CAC) averaged £34–£39.</t>
  </si>
  <si>
    <t>This indicates that customer acquisition activities are generating a strong return on investment and are not the primary constraint on business growth.</t>
  </si>
  <si>
    <t>The data suggests that improving retention would likely deliver greater value than increasing marketing expenditure.</t>
  </si>
  <si>
    <t>FINANCIAL IMPACT</t>
  </si>
  <si>
    <t>The business lost 41 members during June, representing approximately £2,978 in monthly recurring revenue based on the average revenue per member (£72.65).</t>
  </si>
  <si>
    <t>If current churn levels persist, the estimated annual revenue leakage could exceed £35,700.</t>
  </si>
  <si>
    <t>This highlights the financial significance of member retention and demonstrates the potential value of implementing retention-focused initiatives.</t>
  </si>
  <si>
    <t>RECOMMENDATIONS</t>
  </si>
  <si>
    <t>Based on the findings of this analysis, the following actions are recommended:</t>
  </si>
  <si>
    <t>Implement Member Retention Initiatives</t>
  </si>
  <si>
    <t>Develop targeted retention campaigns aimed at members showing signs of disengagement. This may include personalised communications, loyalty incentives, and member reactivation programmes.</t>
  </si>
  <si>
    <t>Improve Member Engagement Monitoring</t>
  </si>
  <si>
    <t>Track attendance frequency and engagement levels to identify at-risk members before cancellation occurs.</t>
  </si>
  <si>
    <t>Introduce a Structured Follow-Up Process</t>
  </si>
  <si>
    <t>Establish a proactive follow-up system for inactive members, including email, phone, or app-based communication.</t>
  </si>
  <si>
    <t>Investigate Causes of Churn</t>
  </si>
  <si>
    <t>Collect and analyse cancellation reasons through exit surveys and member feedback to identify the primary drivers of attrition.</t>
  </si>
  <si>
    <t>Increase Revenue Per Member</t>
  </si>
  <si>
    <t>Expand upselling opportunities through personal training packages, premium memberships, nutrition services, and retail products.</t>
  </si>
  <si>
    <t>ADDITIONAL DATA REQUIRED</t>
  </si>
  <si>
    <t>The current dataset provides visibility into membership and revenue performance; however, additional data would be required to determine the root causes of increasing churn.</t>
  </si>
  <si>
    <t>Recommended data sources include:</t>
  </si>
  <si>
    <t>• Member attendance frequency</t>
  </si>
  <si>
    <t>• Membership type and pricing plan</t>
  </si>
  <si>
    <t>• Cancellation reasons</t>
  </si>
  <si>
    <t>• Customer satisfaction survey results</t>
  </si>
  <si>
    <t>• Personal training participation rates</t>
  </si>
  <si>
    <t>• Peak-hour gym usage data</t>
  </si>
  <si>
    <t>Further analysis of these data sources would enable more accurate identification of retention drivers and operational improvement opportunities.</t>
  </si>
  <si>
    <t>ASSUMPTIONS</t>
  </si>
  <si>
    <t>The following assumptions were applied during the analysis:</t>
  </si>
  <si>
    <t>• Customer Lifetime Value (CLV) was calculated using an assumed average customer lifespan of 12 months.</t>
  </si>
  <si>
    <t>• Revenue Per Member was calculated using total monthly revenue divided by active membership count.</t>
  </si>
  <si>
    <t>• Customer Acquisition Cost (CAC) was calculated using marketing expenditure only and does not include indirect acquisition costs.</t>
  </si>
  <si>
    <t>• Membership and revenue data are assumed to be accurate and representative of the January–June 2025 reporting period.</t>
  </si>
  <si>
    <t>• Revenue leakage estimates assume that current churn levels continue without intervention.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</si>
</sst>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15">
    <font>
      <sz val="10.0"/>
      <color rgb="FF000000"/>
      <name val="Arial"/>
      <scheme val="minor"/>
    </font>
    <font>
      <sz val="20.0"/>
      <color theme="1"/>
      <name val="Arial"/>
      <scheme val="minor"/>
    </font>
    <font>
      <b/>
      <sz val="20.0"/>
      <color theme="1"/>
      <name val="Arial"/>
      <scheme val="minor"/>
    </font>
    <font>
      <b/>
      <i/>
      <sz val="30.0"/>
      <color theme="1"/>
      <name val="Arial"/>
      <scheme val="minor"/>
    </font>
    <font>
      <sz val="30.0"/>
      <color theme="1"/>
      <name val="Arial"/>
      <scheme val="minor"/>
    </font>
    <font>
      <b/>
      <sz val="30.0"/>
      <color theme="1"/>
      <name val="Arial"/>
      <scheme val="minor"/>
    </font>
    <font>
      <sz val="12.0"/>
      <color theme="1"/>
      <name val="Arial"/>
      <scheme val="minor"/>
    </font>
    <font>
      <b/>
      <sz val="24.0"/>
      <color theme="1"/>
      <name val="Arial"/>
      <scheme val="minor"/>
    </font>
    <font>
      <b/>
      <sz val="13.0"/>
      <color theme="1"/>
      <name val="Arial"/>
      <scheme val="minor"/>
    </font>
    <font>
      <b/>
      <sz val="36.0"/>
      <color rgb="FF000000"/>
      <name val="Arial"/>
      <scheme val="minor"/>
    </font>
    <font>
      <b/>
      <sz val="36.0"/>
      <color theme="1"/>
      <name val="Arial"/>
      <scheme val="minor"/>
    </font>
    <font/>
    <font>
      <sz val="13.0"/>
      <color theme="1"/>
      <name val="Arial"/>
      <scheme val="minor"/>
    </font>
    <font>
      <sz val="14.0"/>
      <color theme="1"/>
      <name val="Arial"/>
      <scheme val="minor"/>
    </font>
    <font>
      <sz val="2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8" numFmtId="0" xfId="0" applyAlignment="1" applyBorder="1" applyFill="1" applyFont="1">
      <alignment readingOrder="0"/>
    </xf>
    <xf borderId="2" fillId="3" fontId="9" numFmtId="0" xfId="0" applyAlignment="1" applyBorder="1" applyFill="1" applyFont="1">
      <alignment horizontal="center" readingOrder="0"/>
    </xf>
    <xf borderId="3" fillId="3" fontId="9" numFmtId="0" xfId="0" applyAlignment="1" applyBorder="1" applyFont="1">
      <alignment horizontal="center" readingOrder="0"/>
    </xf>
    <xf borderId="4" fillId="4" fontId="10" numFmtId="0" xfId="0" applyAlignment="1" applyBorder="1" applyFill="1" applyFont="1">
      <alignment horizontal="center" readingOrder="0" vertical="center"/>
    </xf>
    <xf borderId="4" fillId="4" fontId="10" numFmtId="164" xfId="0" applyAlignment="1" applyBorder="1" applyFont="1" applyNumberFormat="1">
      <alignment horizontal="center" readingOrder="0" vertical="center"/>
    </xf>
    <xf borderId="4" fillId="4" fontId="10" numFmtId="10" xfId="0" applyAlignment="1" applyBorder="1" applyFont="1" applyNumberFormat="1">
      <alignment horizontal="center" readingOrder="0" vertical="center"/>
    </xf>
    <xf borderId="5" fillId="4" fontId="10" numFmtId="164" xfId="0" applyAlignment="1" applyBorder="1" applyFont="1" applyNumberFormat="1">
      <alignment horizontal="center" readingOrder="0" vertical="center"/>
    </xf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0" fillId="0" fontId="6" numFmtId="0" xfId="0" applyFont="1"/>
    <xf borderId="0" fillId="0" fontId="12" numFmtId="0" xfId="0" applyFont="1"/>
    <xf borderId="0" fillId="0" fontId="5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Verdana"/>
              </a:defRPr>
            </a:pPr>
            <a:r>
              <a:rPr b="0" sz="3600">
                <a:solidFill>
                  <a:srgbClr val="757575"/>
                </a:solidFill>
                <a:latin typeface="Verdana"/>
              </a:rPr>
              <a:t>Membership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Active members</c:v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24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'Members Data'!$B$8:$B$13</c:f>
            </c:strRef>
          </c:cat>
          <c:val>
            <c:numRef>
              <c:f>'Members Data'!$F$8:$F$13</c:f>
              <c:numCache/>
            </c:numRef>
          </c:val>
          <c:smooth val="0"/>
        </c:ser>
        <c:axId val="1563773382"/>
        <c:axId val="1576017999"/>
      </c:lineChart>
      <c:catAx>
        <c:axId val="1563773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400">
                <a:solidFill>
                  <a:schemeClr val="dk1"/>
                </a:solidFill>
                <a:latin typeface="Arial black"/>
              </a:defRPr>
            </a:pPr>
          </a:p>
        </c:txPr>
        <c:crossAx val="1576017999"/>
      </c:catAx>
      <c:valAx>
        <c:axId val="1576017999"/>
        <c:scaling>
          <c:orientation val="minMax"/>
          <c:max val="5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 black"/>
              </a:defRPr>
            </a:pPr>
          </a:p>
        </c:txPr>
        <c:crossAx val="1563773382"/>
      </c:valAx>
    </c:plotArea>
    <c:legend>
      <c:legendPos val="t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 sz="36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Verdana"/>
              </a:defRPr>
            </a:pPr>
            <a:r>
              <a:rPr b="0" sz="3600">
                <a:solidFill>
                  <a:srgbClr val="757575"/>
                </a:solidFill>
                <a:latin typeface="Verdana"/>
              </a:rPr>
              <a:t>Churn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Churn rate</c:v>
          </c:tx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'KPI Calculations'!$B$8:$B$13</c:f>
            </c:strRef>
          </c:cat>
          <c:val>
            <c:numRef>
              <c:f>'KPI Calculations'!$C$8:$C$13</c:f>
              <c:numCache/>
            </c:numRef>
          </c:val>
          <c:smooth val="0"/>
        </c:ser>
        <c:axId val="1640802269"/>
        <c:axId val="1285646972"/>
      </c:lineChart>
      <c:catAx>
        <c:axId val="1640802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Arial black"/>
              </a:defRPr>
            </a:pPr>
          </a:p>
        </c:txPr>
        <c:crossAx val="1285646972"/>
      </c:catAx>
      <c:valAx>
        <c:axId val="1285646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Arial black"/>
              </a:defRPr>
            </a:pPr>
          </a:p>
        </c:txPr>
        <c:crossAx val="1640802269"/>
      </c:valAx>
    </c:plotArea>
    <c:legend>
      <c:legendPos val="t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Verdana"/>
              </a:defRPr>
            </a:pPr>
            <a:r>
              <a:rPr b="0" sz="3600">
                <a:solidFill>
                  <a:srgbClr val="757575"/>
                </a:solidFill>
                <a:latin typeface="Verdana"/>
              </a:rPr>
              <a:t>Revenue Breakdown by Source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'Revenue Data'!$C$7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'Revenue Data'!$B$8:$B$13</c:f>
            </c:strRef>
          </c:cat>
          <c:val>
            <c:numRef>
              <c:f>'Revenue Data'!$C$8:$C$13</c:f>
              <c:numCache/>
            </c:numRef>
          </c:val>
        </c:ser>
        <c:ser>
          <c:idx val="1"/>
          <c:order val="1"/>
          <c:tx>
            <c:strRef>
              <c:f>'Revenue Data'!$D$7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'Revenue Data'!$B$8:$B$13</c:f>
            </c:strRef>
          </c:cat>
          <c:val>
            <c:numRef>
              <c:f>'Revenue Data'!$D$8:$D$13</c:f>
              <c:numCache/>
            </c:numRef>
          </c:val>
        </c:ser>
        <c:ser>
          <c:idx val="2"/>
          <c:order val="2"/>
          <c:tx>
            <c:strRef>
              <c:f>'Revenue Data'!$E$7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'Revenue Data'!$B$8:$B$13</c:f>
            </c:strRef>
          </c:cat>
          <c:val>
            <c:numRef>
              <c:f>'Revenue Data'!$E$8:$E$13</c:f>
              <c:numCache/>
            </c:numRef>
          </c:val>
        </c:ser>
        <c:axId val="301348450"/>
        <c:axId val="1122685984"/>
      </c:bar3DChart>
      <c:catAx>
        <c:axId val="301348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 black"/>
              </a:defRPr>
            </a:pPr>
          </a:p>
        </c:txPr>
        <c:crossAx val="1122685984"/>
      </c:catAx>
      <c:valAx>
        <c:axId val="1122685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 black"/>
              </a:defRPr>
            </a:pPr>
          </a:p>
        </c:txPr>
        <c:crossAx val="301348450"/>
      </c:valAx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Verdana"/>
              </a:defRPr>
            </a:pPr>
            <a:r>
              <a:rPr b="0" sz="3600">
                <a:solidFill>
                  <a:srgbClr val="757575"/>
                </a:solidFill>
                <a:latin typeface="Verdana"/>
              </a:rPr>
              <a:t>Customer Acquisition Cost vs Customer Lifetime Value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'KPI Calculations'!$G$7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'KPI Calculations'!$B$8:$B$13</c:f>
            </c:strRef>
          </c:cat>
          <c:val>
            <c:numRef>
              <c:f>'KPI Calculations'!$G$8:$G$13</c:f>
              <c:numCache/>
            </c:numRef>
          </c:val>
        </c:ser>
        <c:ser>
          <c:idx val="1"/>
          <c:order val="1"/>
          <c:tx>
            <c:strRef>
              <c:f>'KPI Calculations'!$H$7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2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'KPI Calculations'!$B$8:$B$13</c:f>
            </c:strRef>
          </c:cat>
          <c:val>
            <c:numRef>
              <c:f>'KPI Calculations'!$H$8:$H$13</c:f>
              <c:numCache/>
            </c:numRef>
          </c:val>
        </c:ser>
        <c:axId val="1989801786"/>
        <c:axId val="1883222932"/>
      </c:bar3DChart>
      <c:catAx>
        <c:axId val="1989801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 black"/>
              </a:defRPr>
            </a:pPr>
          </a:p>
        </c:txPr>
        <c:crossAx val="1883222932"/>
      </c:catAx>
      <c:valAx>
        <c:axId val="1883222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 black"/>
              </a:defRPr>
            </a:pPr>
          </a:p>
        </c:txPr>
        <c:crossAx val="1989801786"/>
      </c:valAx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1504950</xdr:colOff>
      <xdr:row>25</xdr:row>
      <xdr:rowOff>161925</xdr:rowOff>
    </xdr:from>
    <xdr:ext cx="10515600" cy="5991225"/>
    <xdr:graphicFrame>
      <xdr:nvGraphicFramePr>
        <xdr:cNvPr id="1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3114675</xdr:colOff>
      <xdr:row>25</xdr:row>
      <xdr:rowOff>161925</xdr:rowOff>
    </xdr:from>
    <xdr:ext cx="10744200" cy="5991225"/>
    <xdr:graphicFrame>
      <xdr:nvGraphicFramePr>
        <xdr:cNvPr id="2" name="Chart 2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1504950</xdr:colOff>
      <xdr:row>59</xdr:row>
      <xdr:rowOff>28575</xdr:rowOff>
    </xdr:from>
    <xdr:ext cx="10515600" cy="65341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3114675</xdr:colOff>
      <xdr:row>59</xdr:row>
      <xdr:rowOff>28575</xdr:rowOff>
    </xdr:from>
    <xdr:ext cx="10744200" cy="6534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32.0"/>
    <col customWidth="1" min="3" max="3" width="32.88"/>
    <col customWidth="1" min="4" max="4" width="26.25"/>
    <col customWidth="1" min="5" max="5" width="34.25"/>
    <col customWidth="1" min="6" max="6" width="3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6</v>
      </c>
      <c r="C8" s="4">
        <v>450.0</v>
      </c>
      <c r="D8" s="4">
        <v>45.0</v>
      </c>
      <c r="E8" s="4">
        <v>20.0</v>
      </c>
      <c r="F8" s="4">
        <v>475.0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7</v>
      </c>
      <c r="C9" s="4">
        <v>475.0</v>
      </c>
      <c r="D9" s="4">
        <v>42.0</v>
      </c>
      <c r="E9" s="4">
        <v>24.0</v>
      </c>
      <c r="F9" s="4">
        <v>493.0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8</v>
      </c>
      <c r="C10" s="4">
        <v>493.0</v>
      </c>
      <c r="D10" s="4">
        <v>38.0</v>
      </c>
      <c r="E10" s="4">
        <v>31.0</v>
      </c>
      <c r="F10" s="4">
        <v>500.0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9</v>
      </c>
      <c r="C11" s="4">
        <v>500.0</v>
      </c>
      <c r="D11" s="4">
        <v>35.0</v>
      </c>
      <c r="E11" s="4">
        <v>33.0</v>
      </c>
      <c r="F11" s="4">
        <v>502.0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10</v>
      </c>
      <c r="C12" s="4">
        <v>502.0</v>
      </c>
      <c r="D12" s="4">
        <v>40.0</v>
      </c>
      <c r="E12" s="4">
        <v>39.0</v>
      </c>
      <c r="F12" s="4">
        <v>503.0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11</v>
      </c>
      <c r="C13" s="4">
        <v>503.0</v>
      </c>
      <c r="D13" s="4">
        <v>37.0</v>
      </c>
      <c r="E13" s="4">
        <v>41.0</v>
      </c>
      <c r="F13" s="4">
        <v>499.0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3.0"/>
    <col customWidth="1" min="3" max="3" width="53.38"/>
    <col customWidth="1" min="4" max="4" width="32.38"/>
    <col customWidth="1" min="5" max="5" width="56.38"/>
    <col customWidth="1" min="6" max="6" width="42.88"/>
    <col customWidth="1" min="7" max="7" width="4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6</v>
      </c>
      <c r="C8" s="4">
        <v>29250.0</v>
      </c>
      <c r="D8" s="4">
        <v>4200.0</v>
      </c>
      <c r="E8" s="4">
        <v>950.0</v>
      </c>
      <c r="F8" s="4">
        <v>34400.0</v>
      </c>
      <c r="G8" s="4">
        <v>1200.0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7</v>
      </c>
      <c r="C9" s="4">
        <v>30420.0</v>
      </c>
      <c r="D9" s="4">
        <v>4350.0</v>
      </c>
      <c r="E9" s="4">
        <v>1020.0</v>
      </c>
      <c r="F9" s="4">
        <v>35790.0</v>
      </c>
      <c r="G9" s="4">
        <v>1250.0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8</v>
      </c>
      <c r="C10" s="4">
        <v>30875.0</v>
      </c>
      <c r="D10" s="4">
        <v>4520.0</v>
      </c>
      <c r="E10" s="4">
        <v>980.0</v>
      </c>
      <c r="F10" s="4">
        <v>36375.0</v>
      </c>
      <c r="G10" s="4">
        <v>1300.0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9</v>
      </c>
      <c r="C11" s="4">
        <v>31005.0</v>
      </c>
      <c r="D11" s="4">
        <v>4480.0</v>
      </c>
      <c r="E11" s="4">
        <v>960.0</v>
      </c>
      <c r="F11" s="4">
        <v>36445.0</v>
      </c>
      <c r="G11" s="4">
        <v>1350.0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" t="s">
        <v>10</v>
      </c>
      <c r="C12" s="4">
        <v>31070.0</v>
      </c>
      <c r="D12" s="4">
        <v>4600.0</v>
      </c>
      <c r="E12" s="4">
        <v>1010.0</v>
      </c>
      <c r="F12" s="4">
        <v>36680.0</v>
      </c>
      <c r="G12" s="4">
        <v>1400.0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" t="s">
        <v>11</v>
      </c>
      <c r="C13" s="4">
        <v>30810.0</v>
      </c>
      <c r="D13" s="4">
        <v>4510.0</v>
      </c>
      <c r="E13" s="4">
        <v>930.0</v>
      </c>
      <c r="F13" s="4">
        <v>36250.0</v>
      </c>
      <c r="G13" s="4">
        <v>1450.0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0"/>
    <col customWidth="1" min="3" max="3" width="41.75"/>
    <col customWidth="1" min="4" max="4" width="40.5"/>
    <col customWidth="1" min="5" max="5" width="43.63"/>
    <col customWidth="1" min="6" max="6" width="44.0"/>
    <col customWidth="1" min="7" max="7" width="18.63"/>
    <col customWidth="1" min="8" max="8" width="45.38"/>
  </cols>
  <sheetData>
    <row r="3">
      <c r="B3" s="2" t="s">
        <v>18</v>
      </c>
      <c r="C3" s="1"/>
      <c r="D3" s="1"/>
      <c r="E3" s="1"/>
      <c r="F3" s="1"/>
      <c r="G3" s="1"/>
      <c r="H3" s="1"/>
    </row>
    <row r="4">
      <c r="B4" s="1"/>
      <c r="C4" s="1"/>
      <c r="D4" s="1"/>
      <c r="E4" s="1"/>
      <c r="F4" s="1"/>
      <c r="G4" s="1"/>
      <c r="H4" s="1"/>
    </row>
    <row r="5">
      <c r="B5" s="1"/>
      <c r="C5" s="1"/>
      <c r="D5" s="1"/>
      <c r="E5" s="1"/>
      <c r="F5" s="1"/>
      <c r="G5" s="1"/>
      <c r="H5" s="1"/>
    </row>
    <row r="6">
      <c r="B6" s="1"/>
      <c r="C6" s="1"/>
      <c r="D6" s="1"/>
      <c r="E6" s="1"/>
      <c r="F6" s="1"/>
      <c r="G6" s="1"/>
      <c r="H6" s="1"/>
    </row>
    <row r="7">
      <c r="B7" s="3" t="s">
        <v>1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</row>
    <row r="8">
      <c r="B8" s="4" t="s">
        <v>6</v>
      </c>
      <c r="C8" s="5">
        <f>'Members Data'!E8/'Members Data'!C8</f>
        <v>0.04444444444</v>
      </c>
      <c r="D8" s="5">
        <f>('Members Data'!C8-'Members Data'!E8)/'Members Data'!C8</f>
        <v>0.9555555556</v>
      </c>
      <c r="E8" s="6" t="s">
        <v>25</v>
      </c>
      <c r="F8" s="7">
        <f>'Revenue Data'!F8/'Members Data'!F8</f>
        <v>72.42105263</v>
      </c>
      <c r="G8" s="7">
        <f>'Revenue Data'!G8/'Members Data'!D8</f>
        <v>26.66666667</v>
      </c>
      <c r="H8" s="7">
        <f t="shared" ref="H8:H13" si="1">F8*12</f>
        <v>869.0526316</v>
      </c>
    </row>
    <row r="9">
      <c r="B9" s="4" t="s">
        <v>7</v>
      </c>
      <c r="C9" s="5">
        <f>'Members Data'!E9/'Members Data'!C9</f>
        <v>0.05052631579</v>
      </c>
      <c r="D9" s="5">
        <f>('Members Data'!C9-'Members Data'!E9)/'Members Data'!C9</f>
        <v>0.9494736842</v>
      </c>
      <c r="E9" s="5">
        <f>('Revenue Data'!F9-'Revenue Data'!F8)/'Revenue Data'!F8</f>
        <v>0.04040697674</v>
      </c>
      <c r="F9" s="7">
        <f>'Revenue Data'!F9/'Members Data'!F9</f>
        <v>72.59634888</v>
      </c>
      <c r="G9" s="7">
        <f>'Revenue Data'!G9/'Members Data'!D9</f>
        <v>29.76190476</v>
      </c>
      <c r="H9" s="7">
        <f t="shared" si="1"/>
        <v>871.1561866</v>
      </c>
    </row>
    <row r="10">
      <c r="B10" s="4" t="s">
        <v>8</v>
      </c>
      <c r="C10" s="5">
        <f>'Members Data'!E10/'Members Data'!C10</f>
        <v>0.06288032454</v>
      </c>
      <c r="D10" s="5">
        <f>('Members Data'!C10-'Members Data'!E10)/'Members Data'!C10</f>
        <v>0.9371196755</v>
      </c>
      <c r="E10" s="5">
        <f>('Revenue Data'!F10-'Revenue Data'!F9)/'Revenue Data'!F9</f>
        <v>0.01634534786</v>
      </c>
      <c r="F10" s="7">
        <f>'Revenue Data'!F10/'Members Data'!F10</f>
        <v>72.75</v>
      </c>
      <c r="G10" s="7">
        <f>'Revenue Data'!G10/'Members Data'!D10</f>
        <v>34.21052632</v>
      </c>
      <c r="H10" s="7">
        <f t="shared" si="1"/>
        <v>873</v>
      </c>
    </row>
    <row r="11">
      <c r="B11" s="4" t="s">
        <v>9</v>
      </c>
      <c r="C11" s="5">
        <f>'Members Data'!E11/'Members Data'!C11</f>
        <v>0.066</v>
      </c>
      <c r="D11" s="5">
        <f>('Members Data'!C11-'Members Data'!E11)/'Members Data'!C11</f>
        <v>0.934</v>
      </c>
      <c r="E11" s="5">
        <f>('Revenue Data'!F11-'Revenue Data'!F10)/'Revenue Data'!F10</f>
        <v>0.001924398625</v>
      </c>
      <c r="F11" s="7">
        <f>'Revenue Data'!F11/'Members Data'!F11</f>
        <v>72.59960159</v>
      </c>
      <c r="G11" s="7">
        <f>'Revenue Data'!G11/'Members Data'!D11</f>
        <v>38.57142857</v>
      </c>
      <c r="H11" s="7">
        <f t="shared" si="1"/>
        <v>871.1952191</v>
      </c>
    </row>
    <row r="12">
      <c r="B12" s="4" t="s">
        <v>10</v>
      </c>
      <c r="C12" s="5">
        <f>'Members Data'!E12/'Members Data'!C12</f>
        <v>0.07768924303</v>
      </c>
      <c r="D12" s="5">
        <f>('Members Data'!C12-'Members Data'!E12)/'Members Data'!C12</f>
        <v>0.922310757</v>
      </c>
      <c r="E12" s="5">
        <f>('Revenue Data'!F12-'Revenue Data'!F11)/'Revenue Data'!F11</f>
        <v>0.006448072438</v>
      </c>
      <c r="F12" s="7">
        <f>'Revenue Data'!F12/'Members Data'!F12</f>
        <v>72.92246521</v>
      </c>
      <c r="G12" s="7">
        <f>'Revenue Data'!G12/'Members Data'!D12</f>
        <v>35</v>
      </c>
      <c r="H12" s="7">
        <f t="shared" si="1"/>
        <v>875.0695825</v>
      </c>
    </row>
    <row r="13">
      <c r="B13" s="4" t="s">
        <v>11</v>
      </c>
      <c r="C13" s="5">
        <f>'Members Data'!E13/'Members Data'!C13</f>
        <v>0.08151093439</v>
      </c>
      <c r="D13" s="5">
        <f>('Members Data'!C13-'Members Data'!E13)/'Members Data'!C13</f>
        <v>0.9184890656</v>
      </c>
      <c r="E13" s="5">
        <f>('Revenue Data'!F13-'Revenue Data'!F12)/'Revenue Data'!F12</f>
        <v>-0.01172300981</v>
      </c>
      <c r="F13" s="7">
        <f>'Revenue Data'!F13/'Members Data'!F13</f>
        <v>72.64529058</v>
      </c>
      <c r="G13" s="7">
        <f>'Revenue Data'!G13/'Members Data'!D13</f>
        <v>39.18918919</v>
      </c>
      <c r="H13" s="7">
        <f t="shared" si="1"/>
        <v>871.743487</v>
      </c>
    </row>
    <row r="19">
      <c r="C19" s="8" t="s">
        <v>26</v>
      </c>
      <c r="D19" s="9"/>
      <c r="E19" s="9"/>
      <c r="F19" s="9"/>
    </row>
    <row r="20">
      <c r="C20" s="10"/>
      <c r="D20" s="9"/>
      <c r="E20" s="9"/>
      <c r="F20" s="9"/>
    </row>
    <row r="21">
      <c r="C21" s="10" t="s">
        <v>27</v>
      </c>
      <c r="D21" s="11" t="s">
        <v>28</v>
      </c>
      <c r="E21" s="12" t="s">
        <v>29</v>
      </c>
      <c r="F21" s="9"/>
    </row>
    <row r="22">
      <c r="C22" s="10"/>
      <c r="D22" s="9"/>
      <c r="E22" s="9"/>
      <c r="F22" s="9"/>
    </row>
    <row r="23">
      <c r="C23" s="10"/>
      <c r="D23" s="12" t="s">
        <v>30</v>
      </c>
      <c r="E23" s="9"/>
      <c r="F23" s="9"/>
    </row>
    <row r="24">
      <c r="C24" s="10"/>
      <c r="D24" s="13"/>
      <c r="E24" s="9"/>
      <c r="F24" s="9"/>
    </row>
    <row r="25">
      <c r="C25" s="14"/>
      <c r="D25" s="12" t="s">
        <v>31</v>
      </c>
      <c r="E25" s="9"/>
      <c r="F25" s="9"/>
    </row>
    <row r="26">
      <c r="C26" s="10"/>
      <c r="D26" s="12" t="s">
        <v>32</v>
      </c>
      <c r="E26" s="9"/>
      <c r="F26" s="9"/>
    </row>
    <row r="27">
      <c r="C27" s="10"/>
      <c r="D27" s="12" t="s">
        <v>33</v>
      </c>
      <c r="E27" s="9"/>
      <c r="F27" s="9"/>
    </row>
    <row r="28">
      <c r="C28" s="10"/>
      <c r="D28" s="9"/>
      <c r="E28" s="9"/>
      <c r="F28" s="9"/>
    </row>
    <row r="29">
      <c r="C29" s="10"/>
      <c r="D29" s="9"/>
      <c r="E29" s="9"/>
      <c r="F29" s="9"/>
    </row>
    <row r="30">
      <c r="C30" s="10" t="s">
        <v>34</v>
      </c>
      <c r="D30" s="11" t="s">
        <v>35</v>
      </c>
      <c r="E30" s="12" t="s">
        <v>36</v>
      </c>
      <c r="F30" s="9"/>
    </row>
    <row r="31">
      <c r="C31" s="10"/>
      <c r="D31" s="9"/>
      <c r="E31" s="9"/>
      <c r="F31" s="9"/>
    </row>
    <row r="32">
      <c r="C32" s="10"/>
      <c r="D32" s="12" t="s">
        <v>37</v>
      </c>
      <c r="E32" s="9"/>
      <c r="F32" s="9"/>
    </row>
    <row r="33">
      <c r="C33" s="10"/>
      <c r="D33" s="9"/>
      <c r="E33" s="9"/>
      <c r="F33" s="9"/>
    </row>
    <row r="34">
      <c r="C34" s="10"/>
      <c r="D34" s="9"/>
      <c r="E34" s="9"/>
      <c r="F34" s="9"/>
    </row>
    <row r="35">
      <c r="C35" s="14" t="s">
        <v>38</v>
      </c>
      <c r="D35" s="11" t="s">
        <v>39</v>
      </c>
      <c r="E35" s="12" t="s">
        <v>40</v>
      </c>
      <c r="F35" s="9"/>
    </row>
    <row r="36">
      <c r="C36" s="10"/>
      <c r="D36" s="12"/>
      <c r="E36" s="12"/>
      <c r="F36" s="9"/>
    </row>
    <row r="37">
      <c r="C37" s="10"/>
      <c r="D37" s="12" t="s">
        <v>30</v>
      </c>
      <c r="E37" s="12"/>
      <c r="F37" s="9"/>
    </row>
    <row r="38">
      <c r="C38" s="10"/>
      <c r="D38" s="12"/>
      <c r="E38" s="12"/>
      <c r="F38" s="9"/>
    </row>
    <row r="39">
      <c r="C39" s="14"/>
      <c r="D39" s="12" t="s">
        <v>41</v>
      </c>
      <c r="E39" s="12"/>
      <c r="F39" s="9"/>
    </row>
    <row r="40">
      <c r="C40" s="10"/>
      <c r="D40" s="12" t="s">
        <v>42</v>
      </c>
      <c r="E40" s="12"/>
      <c r="F40" s="9"/>
    </row>
    <row r="41">
      <c r="C41" s="10"/>
      <c r="D41" s="12" t="s">
        <v>43</v>
      </c>
      <c r="E41" s="12"/>
      <c r="F41" s="9"/>
    </row>
    <row r="42">
      <c r="C42" s="10"/>
      <c r="D42" s="12"/>
      <c r="E42" s="12"/>
      <c r="F42" s="9"/>
    </row>
    <row r="43">
      <c r="C43" s="9"/>
      <c r="D43" s="9"/>
      <c r="E43" s="9"/>
      <c r="F43" s="9"/>
    </row>
    <row r="44">
      <c r="C44" s="14" t="s">
        <v>44</v>
      </c>
      <c r="D44" s="12"/>
      <c r="E44" s="12"/>
      <c r="F44" s="12" t="s">
        <v>45</v>
      </c>
      <c r="G44" s="15"/>
      <c r="H44" s="15"/>
    </row>
    <row r="45">
      <c r="C45" s="10"/>
      <c r="D45" s="12" t="s">
        <v>23</v>
      </c>
      <c r="E45" s="12" t="s">
        <v>46</v>
      </c>
      <c r="F45" s="12"/>
      <c r="G45" s="15"/>
      <c r="H45" s="15"/>
    </row>
    <row r="46">
      <c r="C46" s="10"/>
      <c r="D46" s="12" t="s">
        <v>47</v>
      </c>
      <c r="E46" s="12" t="s">
        <v>48</v>
      </c>
      <c r="F46" s="12"/>
      <c r="G46" s="15"/>
      <c r="H46" s="15"/>
    </row>
    <row r="47">
      <c r="C47" s="10"/>
      <c r="D47" s="12"/>
      <c r="E47" s="12"/>
      <c r="F47" s="12"/>
      <c r="G47" s="15"/>
      <c r="H47" s="15"/>
    </row>
    <row r="48">
      <c r="C48" s="10"/>
      <c r="D48" s="12" t="s">
        <v>30</v>
      </c>
      <c r="E48" s="12"/>
      <c r="F48" s="12"/>
      <c r="G48" s="15"/>
      <c r="H48" s="15"/>
    </row>
    <row r="49">
      <c r="C49" s="10"/>
      <c r="D49" s="12"/>
      <c r="E49" s="12"/>
      <c r="F49" s="12"/>
      <c r="G49" s="15"/>
      <c r="H49" s="15"/>
    </row>
    <row r="50">
      <c r="C50" s="14"/>
      <c r="D50" s="12" t="s">
        <v>49</v>
      </c>
      <c r="E50" s="12"/>
      <c r="F50" s="12"/>
      <c r="G50" s="15"/>
      <c r="H50" s="15"/>
    </row>
    <row r="51">
      <c r="C51" s="10"/>
      <c r="D51" s="12" t="s">
        <v>50</v>
      </c>
      <c r="E51" s="12"/>
      <c r="F51" s="12"/>
      <c r="G51" s="15"/>
      <c r="H51" s="15"/>
    </row>
    <row r="52">
      <c r="C52" s="10"/>
      <c r="D52" s="12"/>
      <c r="E52" s="12"/>
      <c r="F52" s="12"/>
      <c r="G52" s="15"/>
      <c r="H52" s="15"/>
    </row>
    <row r="53">
      <c r="C53" s="10"/>
      <c r="D53" s="12"/>
      <c r="E53" s="12"/>
      <c r="F53" s="12"/>
      <c r="G53" s="15"/>
      <c r="H53" s="15"/>
    </row>
    <row r="54">
      <c r="C54" s="10"/>
      <c r="D54" s="12"/>
      <c r="E54" s="12"/>
      <c r="F54" s="12"/>
      <c r="G54" s="15"/>
      <c r="H54" s="15"/>
    </row>
    <row r="55">
      <c r="C55" s="10"/>
      <c r="D55" s="12"/>
      <c r="E55" s="12"/>
      <c r="F55" s="12"/>
      <c r="G55" s="15"/>
      <c r="H55" s="15"/>
    </row>
    <row r="56">
      <c r="C56" s="10"/>
      <c r="D56" s="12"/>
      <c r="E56" s="12"/>
      <c r="F56" s="12"/>
      <c r="G56" s="15"/>
      <c r="H56" s="15"/>
    </row>
    <row r="57">
      <c r="C57" s="10"/>
      <c r="D57" s="12"/>
      <c r="E57" s="12"/>
      <c r="F57" s="12"/>
      <c r="G57" s="15"/>
      <c r="H57" s="15"/>
    </row>
    <row r="58">
      <c r="C58" s="10" t="s">
        <v>51</v>
      </c>
      <c r="D58" s="12"/>
      <c r="E58" s="12"/>
      <c r="F58" s="12"/>
      <c r="G58" s="15"/>
      <c r="H58" s="15"/>
    </row>
    <row r="59">
      <c r="C59" s="10"/>
      <c r="D59" s="12"/>
      <c r="E59" s="12"/>
      <c r="F59" s="12"/>
      <c r="G59" s="15"/>
      <c r="H59" s="15"/>
    </row>
    <row r="60">
      <c r="C60" s="10"/>
      <c r="D60" s="12" t="s">
        <v>52</v>
      </c>
      <c r="E60" s="12"/>
      <c r="F60" s="12"/>
      <c r="G60" s="15"/>
      <c r="H60" s="15"/>
    </row>
    <row r="61">
      <c r="C61" s="10"/>
      <c r="D61" s="9"/>
      <c r="E61" s="9"/>
      <c r="F61" s="9"/>
    </row>
    <row r="62">
      <c r="C62" s="10"/>
      <c r="D62" s="9"/>
      <c r="E62" s="9"/>
      <c r="F62" s="9"/>
    </row>
    <row r="63">
      <c r="C63" s="10"/>
      <c r="D63" s="9"/>
      <c r="E63" s="9"/>
      <c r="F63" s="9"/>
    </row>
    <row r="64">
      <c r="C64" s="14"/>
      <c r="D64" s="14"/>
      <c r="E64" s="9"/>
      <c r="F64" s="9"/>
    </row>
    <row r="65">
      <c r="C65" s="16"/>
      <c r="D65" s="16"/>
    </row>
    <row r="66">
      <c r="C66" s="16"/>
      <c r="D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88"/>
    <col customWidth="1" min="3" max="3" width="21.0"/>
    <col customWidth="1" min="4" max="4" width="59.38"/>
    <col customWidth="1" min="5" max="5" width="56.38"/>
    <col customWidth="1" min="6" max="6" width="55.88"/>
    <col customWidth="1" min="7" max="7" width="57.38"/>
    <col customWidth="1" min="8" max="8" width="67.38"/>
    <col customWidth="1" min="9" max="9" width="52.13"/>
    <col customWidth="1" min="10" max="10" width="67.13"/>
    <col customWidth="1" min="12" max="12" width="28.75"/>
    <col customWidth="1" min="13" max="13" width="26.5"/>
    <col customWidth="1" min="19" max="19" width="30.38"/>
  </cols>
  <sheetData>
    <row r="4">
      <c r="B4" s="17" t="s">
        <v>53</v>
      </c>
    </row>
    <row r="13">
      <c r="D13" s="18" t="s">
        <v>5</v>
      </c>
      <c r="E13" s="18" t="s">
        <v>54</v>
      </c>
      <c r="F13" s="18" t="s">
        <v>55</v>
      </c>
      <c r="G13" s="18" t="s">
        <v>56</v>
      </c>
      <c r="H13" s="19" t="s">
        <v>57</v>
      </c>
    </row>
    <row r="14">
      <c r="D14" s="20">
        <v>499.0</v>
      </c>
      <c r="E14" s="21">
        <v>36250.0</v>
      </c>
      <c r="F14" s="22">
        <v>0.0815</v>
      </c>
      <c r="G14" s="22">
        <v>0.9185</v>
      </c>
      <c r="H14" s="23">
        <v>72.65</v>
      </c>
    </row>
    <row r="15">
      <c r="D15" s="24"/>
      <c r="E15" s="24"/>
      <c r="F15" s="24"/>
      <c r="G15" s="24"/>
      <c r="H15" s="25"/>
    </row>
    <row r="16">
      <c r="D16" s="26"/>
      <c r="E16" s="26"/>
      <c r="F16" s="26"/>
      <c r="G16" s="26"/>
      <c r="H16" s="27"/>
    </row>
    <row r="26">
      <c r="H26" s="28"/>
    </row>
    <row r="42">
      <c r="J42" s="29"/>
    </row>
  </sheetData>
  <mergeCells count="5">
    <mergeCell ref="D14:D16"/>
    <mergeCell ref="E14:E16"/>
    <mergeCell ref="F14:F16"/>
    <mergeCell ref="G14:G16"/>
    <mergeCell ref="H14:H16"/>
  </mergeCells>
  <conditionalFormatting sqref="E10">
    <cfRule type="notContainsBlanks" dxfId="0" priority="1">
      <formula>LEN(TRIM(E10))&gt;0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0" t="s">
        <v>58</v>
      </c>
      <c r="C3" s="9"/>
      <c r="D3" s="9"/>
      <c r="E3" s="9"/>
      <c r="F3" s="9"/>
    </row>
    <row r="4">
      <c r="B4" s="30"/>
      <c r="C4" s="9"/>
      <c r="D4" s="9"/>
      <c r="E4" s="9"/>
      <c r="F4" s="9"/>
    </row>
    <row r="5">
      <c r="B5" s="10" t="s">
        <v>59</v>
      </c>
      <c r="C5" s="9"/>
      <c r="D5" s="9"/>
      <c r="E5" s="9"/>
      <c r="F5" s="9"/>
    </row>
    <row r="6">
      <c r="B6" s="10" t="s">
        <v>60</v>
      </c>
      <c r="C6" s="9"/>
      <c r="D6" s="9"/>
      <c r="E6" s="9"/>
      <c r="F6" s="9"/>
    </row>
    <row r="7">
      <c r="B7" s="30"/>
      <c r="C7" s="9"/>
      <c r="D7" s="9"/>
      <c r="E7" s="9"/>
      <c r="F7" s="9"/>
    </row>
    <row r="8">
      <c r="B8" s="10" t="s">
        <v>61</v>
      </c>
      <c r="C8" s="9"/>
      <c r="D8" s="9"/>
      <c r="E8" s="9"/>
      <c r="F8" s="9"/>
    </row>
    <row r="9">
      <c r="B9" s="10" t="s">
        <v>62</v>
      </c>
      <c r="C9" s="9"/>
      <c r="D9" s="9"/>
      <c r="E9" s="9"/>
      <c r="F9" s="9"/>
    </row>
    <row r="10">
      <c r="B10" s="10" t="s">
        <v>63</v>
      </c>
      <c r="C10" s="9"/>
      <c r="D10" s="9"/>
      <c r="E10" s="9"/>
      <c r="F10" s="9"/>
    </row>
    <row r="20">
      <c r="D20" s="10" t="s">
        <v>64</v>
      </c>
    </row>
    <row r="21">
      <c r="D21" s="31"/>
    </row>
    <row r="22">
      <c r="D22" s="32" t="s">
        <v>65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</row>
    <row r="23"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>
      <c r="D24" s="32" t="s">
        <v>66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</row>
    <row r="33">
      <c r="D33" s="10" t="s">
        <v>67</v>
      </c>
    </row>
    <row r="34">
      <c r="D34" s="31"/>
    </row>
    <row r="35">
      <c r="D35" s="32" t="s">
        <v>68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</row>
    <row r="37">
      <c r="D37" s="32" t="s">
        <v>69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</row>
    <row r="43">
      <c r="D43" s="10" t="s">
        <v>70</v>
      </c>
    </row>
    <row r="44">
      <c r="D44" s="31"/>
    </row>
    <row r="45">
      <c r="D45" s="32" t="s">
        <v>71</v>
      </c>
    </row>
    <row r="46">
      <c r="D46" s="33"/>
    </row>
    <row r="47">
      <c r="D47" s="32" t="s">
        <v>72</v>
      </c>
    </row>
    <row r="53">
      <c r="D53" s="10" t="s">
        <v>73</v>
      </c>
    </row>
    <row r="54">
      <c r="D54" s="31"/>
    </row>
    <row r="55">
      <c r="D55" s="32" t="s">
        <v>74</v>
      </c>
    </row>
    <row r="56">
      <c r="D56" s="33"/>
    </row>
    <row r="57">
      <c r="D57" s="32" t="s">
        <v>75</v>
      </c>
    </row>
    <row r="63">
      <c r="D63" s="10" t="s">
        <v>76</v>
      </c>
    </row>
    <row r="64">
      <c r="D64" s="31"/>
    </row>
    <row r="65">
      <c r="D65" s="32" t="s">
        <v>77</v>
      </c>
    </row>
    <row r="66">
      <c r="D66" s="33"/>
    </row>
    <row r="67">
      <c r="D67" s="32" t="s">
        <v>78</v>
      </c>
    </row>
    <row r="68">
      <c r="D68" s="33"/>
    </row>
    <row r="69">
      <c r="D69" s="32" t="s">
        <v>79</v>
      </c>
    </row>
    <row r="75">
      <c r="D75" s="10" t="s">
        <v>80</v>
      </c>
    </row>
    <row r="76">
      <c r="D76" s="31"/>
    </row>
    <row r="77">
      <c r="D77" s="32" t="s">
        <v>81</v>
      </c>
    </row>
    <row r="78">
      <c r="D78" s="33"/>
    </row>
    <row r="79">
      <c r="D79" s="32" t="s">
        <v>82</v>
      </c>
    </row>
    <row r="80">
      <c r="D80" s="33"/>
    </row>
    <row r="81">
      <c r="D81" s="32" t="s">
        <v>83</v>
      </c>
    </row>
    <row r="87">
      <c r="D87" s="10" t="s">
        <v>84</v>
      </c>
    </row>
    <row r="88">
      <c r="D88" s="31"/>
    </row>
    <row r="89">
      <c r="D89" s="32" t="s">
        <v>85</v>
      </c>
    </row>
    <row r="90">
      <c r="D90" s="33"/>
    </row>
    <row r="91">
      <c r="D91" s="32" t="s">
        <v>86</v>
      </c>
    </row>
    <row r="92">
      <c r="D92" s="33"/>
    </row>
    <row r="93">
      <c r="D93" s="32" t="s">
        <v>87</v>
      </c>
    </row>
    <row r="94">
      <c r="D94" s="33"/>
    </row>
    <row r="95">
      <c r="D95" s="32" t="s">
        <v>88</v>
      </c>
    </row>
    <row r="96">
      <c r="D96" s="33"/>
    </row>
    <row r="97">
      <c r="D97" s="32" t="s">
        <v>89</v>
      </c>
    </row>
    <row r="98">
      <c r="D98" s="33"/>
    </row>
    <row r="99">
      <c r="D99" s="32" t="s">
        <v>90</v>
      </c>
    </row>
    <row r="100">
      <c r="D100" s="33"/>
    </row>
    <row r="101">
      <c r="D101" s="32" t="s">
        <v>91</v>
      </c>
    </row>
    <row r="102">
      <c r="D102" s="33"/>
    </row>
    <row r="103">
      <c r="D103" s="32" t="s">
        <v>92</v>
      </c>
    </row>
    <row r="104">
      <c r="D104" s="33"/>
    </row>
    <row r="105">
      <c r="D105" s="32" t="s">
        <v>93</v>
      </c>
    </row>
    <row r="106">
      <c r="D106" s="33"/>
    </row>
    <row r="107">
      <c r="D107" s="32" t="s">
        <v>94</v>
      </c>
    </row>
    <row r="108">
      <c r="D108" s="33"/>
    </row>
    <row r="109">
      <c r="D109" s="32" t="s">
        <v>95</v>
      </c>
    </row>
    <row r="115">
      <c r="D115" s="10" t="s">
        <v>96</v>
      </c>
    </row>
    <row r="116">
      <c r="D116" s="31"/>
    </row>
    <row r="117">
      <c r="D117" s="32" t="s">
        <v>97</v>
      </c>
    </row>
    <row r="118">
      <c r="D118" s="33"/>
    </row>
    <row r="119">
      <c r="D119" s="32" t="s">
        <v>98</v>
      </c>
    </row>
    <row r="120">
      <c r="D120" s="33"/>
    </row>
    <row r="121">
      <c r="D121" s="32" t="s">
        <v>99</v>
      </c>
    </row>
    <row r="122">
      <c r="D122" s="32" t="s">
        <v>100</v>
      </c>
    </row>
    <row r="123">
      <c r="D123" s="32" t="s">
        <v>101</v>
      </c>
    </row>
    <row r="124">
      <c r="D124" s="32" t="s">
        <v>102</v>
      </c>
    </row>
    <row r="125">
      <c r="D125" s="32" t="s">
        <v>103</v>
      </c>
    </row>
    <row r="126">
      <c r="D126" s="32" t="s">
        <v>104</v>
      </c>
    </row>
    <row r="127">
      <c r="D127" s="33"/>
    </row>
    <row r="128">
      <c r="D128" s="32" t="s">
        <v>105</v>
      </c>
    </row>
    <row r="134">
      <c r="D134" s="10" t="s">
        <v>106</v>
      </c>
    </row>
    <row r="135">
      <c r="D135" s="31"/>
    </row>
    <row r="136">
      <c r="D136" s="32" t="s">
        <v>107</v>
      </c>
    </row>
    <row r="137">
      <c r="D137" s="33"/>
    </row>
    <row r="138">
      <c r="D138" s="32" t="s">
        <v>108</v>
      </c>
    </row>
    <row r="139">
      <c r="D139" s="33"/>
    </row>
    <row r="140">
      <c r="D140" s="32" t="s">
        <v>109</v>
      </c>
    </row>
    <row r="141">
      <c r="D141" s="33"/>
    </row>
    <row r="142">
      <c r="D142" s="32" t="s">
        <v>110</v>
      </c>
    </row>
    <row r="143">
      <c r="D143" s="33"/>
    </row>
    <row r="144">
      <c r="D144" s="32" t="s">
        <v>111</v>
      </c>
    </row>
    <row r="145">
      <c r="D145" s="33"/>
    </row>
    <row r="146">
      <c r="D146" s="32" t="s">
        <v>112</v>
      </c>
    </row>
  </sheetData>
  <drawing r:id="rId1"/>
</worksheet>
</file>